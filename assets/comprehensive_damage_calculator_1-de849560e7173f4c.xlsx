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filterPrivacy="1" defaultThemeVersion="166925"/>
  <xr:revisionPtr revIDLastSave="0" documentId="13_ncr:1_{3BCECDC5-50ED-4C22-AF09-92436A02B7AC}" xr6:coauthVersionLast="47" xr6:coauthVersionMax="47" xr10:uidLastSave="{00000000-0000-0000-0000-000000000000}"/>
  <bookViews>
    <workbookView xWindow="-110" yWindow="-110" windowWidth="25820" windowHeight="14020" activeTab="2" xr2:uid="{EB73A14E-55EC-406E-A11A-48DBA55EB598}"/>
  </bookViews>
  <sheets>
    <sheet name="armour calculation" sheetId="1" r:id="rId1"/>
    <sheet name="sweeping calculation" sheetId="3" r:id="rId2"/>
    <sheet name="old forma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" l="1"/>
  <c r="J6" i="5" s="1"/>
  <c r="K4" i="5"/>
  <c r="J5" i="5"/>
  <c r="K5" i="5"/>
  <c r="K6" i="5"/>
  <c r="J7" i="5"/>
  <c r="C11" i="5" l="1"/>
  <c r="D11" i="5" s="1"/>
  <c r="A11" i="5"/>
  <c r="F11" i="5" s="1"/>
  <c r="K8" i="3"/>
  <c r="D16" i="3"/>
  <c r="C16" i="3"/>
  <c r="J12" i="3"/>
  <c r="K11" i="3"/>
  <c r="J8" i="3"/>
  <c r="D18" i="1"/>
  <c r="C18" i="1"/>
  <c r="J12" i="1"/>
  <c r="K11" i="1"/>
  <c r="K8" i="1"/>
  <c r="J8" i="1"/>
  <c r="K9" i="3" l="1"/>
  <c r="J9" i="3"/>
  <c r="J9" i="1"/>
  <c r="J10" i="1" s="1"/>
  <c r="K9" i="1"/>
  <c r="A16" i="1" l="1"/>
  <c r="J11" i="1" s="1"/>
  <c r="K12" i="1" s="1"/>
  <c r="B18" i="1" s="1"/>
  <c r="B16" i="1" s="1"/>
  <c r="C16" i="1" s="1"/>
  <c r="J10" i="3"/>
  <c r="A14" i="3" s="1"/>
  <c r="A18" i="1" l="1"/>
  <c r="E18" i="1" s="1"/>
  <c r="J11" i="3"/>
  <c r="K12" i="3" s="1"/>
  <c r="B16" i="3" s="1"/>
  <c r="B14" i="3" s="1"/>
  <c r="A16" i="3" s="1"/>
  <c r="E16" i="3" s="1"/>
  <c r="C14" i="3" l="1"/>
</calcChain>
</file>

<file path=xl/sharedStrings.xml><?xml version="1.0" encoding="utf-8"?>
<sst xmlns="http://schemas.openxmlformats.org/spreadsheetml/2006/main" count="88" uniqueCount="54">
  <si>
    <t>Taken dmg (hp)</t>
  </si>
  <si>
    <t>Taken dmg hearts</t>
  </si>
  <si>
    <t>Armour Index</t>
  </si>
  <si>
    <t>Overall Reduction:</t>
  </si>
  <si>
    <t xml:space="preserve">Different damage types don't get calculated in this, that means for example if your damage is magic damage the system can't see this and will calculate this as normal damage. </t>
  </si>
  <si>
    <t>When you open the excel for the first time a full diamond armour full protection 4 is set with an incoming damage of a diamond sword sharpness 5 normal hit.</t>
  </si>
  <si>
    <t>Join the 1.9+ PvP Guide Discord Server: https://discord.gg/RkWXyeX</t>
  </si>
  <si>
    <t>Input values here:</t>
  </si>
  <si>
    <t>Enchantment damage:</t>
  </si>
  <si>
    <t>Attacker:</t>
  </si>
  <si>
    <t>Defender:</t>
  </si>
  <si>
    <t>Enchantment points:</t>
  </si>
  <si>
    <t>Resistance level:</t>
  </si>
  <si>
    <t>Armour toughness:</t>
  </si>
  <si>
    <t>Armour points:</t>
  </si>
  <si>
    <t>Weapon damage:</t>
  </si>
  <si>
    <t>Strength level:</t>
  </si>
  <si>
    <t>Attack charge:</t>
  </si>
  <si>
    <t>Don't forget specific enchantments give you 2 enchantment points (EPF) each level while protection gives you 1 enchantment point each level, capping at 20 EPF</t>
  </si>
  <si>
    <t>For example 3 pieces of prot 4 and 1 piece of blast prot 4 give 12 EPF against general damage and 20 EPF against explosions</t>
  </si>
  <si>
    <t>Armour toughness needs to be put, so if you want to calculate dia or netherite protection make sure you add it manually (2 per piece for dia, 3 per piece for neth)</t>
  </si>
  <si>
    <t>Annotations:</t>
  </si>
  <si>
    <t>Crit (0 or 1):</t>
  </si>
  <si>
    <t>Weapon attack speed:</t>
  </si>
  <si>
    <t>If you are not calculating melee damage, set weapon damage to incoming damage, attack charge to 100% and everything else in attacker values to 0</t>
  </si>
  <si>
    <t>Weakness level:</t>
  </si>
  <si>
    <t>Taken damage result with some more information:</t>
  </si>
  <si>
    <t>Reduction by armour</t>
  </si>
  <si>
    <t>Rd. by resistance</t>
  </si>
  <si>
    <t>Rd. by enchantments</t>
  </si>
  <si>
    <t>Incoming damage</t>
  </si>
  <si>
    <t>Comprehensive Damage Calculator for Minecraft 1.9-1.19:</t>
  </si>
  <si>
    <t>The time it takes to reach certain attack charge % varies based the weapon's attack speed</t>
  </si>
  <si>
    <t>Feather falling gives 3 EPF per level against fall damage</t>
  </si>
  <si>
    <t>So when you want to get magical, ongoing fire or fall damage reduction make sure you put armour points as 0 because they can't protect against this damage type.</t>
  </si>
  <si>
    <t>Sweeping Damage Calculator</t>
  </si>
  <si>
    <t>Sweeping level:</t>
  </si>
  <si>
    <t>This calculator calculates damage from sweeping sword hits against non-targeted players</t>
  </si>
  <si>
    <t>Sharpness 1 does 1 enchantment damage increasing by 0.5 for every level above 1</t>
  </si>
  <si>
    <t>The time it takes to reach a certain attack charge % varies based the weapon's attack speed</t>
  </si>
  <si>
    <t>Originally created by LoCr with additions by etchx</t>
  </si>
  <si>
    <t>Don't forget specific enchantments give you 2 enchantment points (EPF) each level while protection 4 give you 1 enchantment point each level.</t>
  </si>
  <si>
    <t>Armour toughness needs to be put, so if you want to calculate dia or netherite protection make sure you add it manually.</t>
  </si>
  <si>
    <t>So when you want to get magical damage reduction make sure you don't put armour points because they can't protect against this damage type.</t>
  </si>
  <si>
    <t>At the moment you open the excel the first time a full diamond armour full protection 4 is set with an incomming damage of a diamond sharpness 5 normal hit.</t>
  </si>
  <si>
    <t>annotation:</t>
  </si>
  <si>
    <t>That’s the incomming damage with some more information:</t>
  </si>
  <si>
    <t>Armor toughness</t>
  </si>
  <si>
    <t>Resistance</t>
  </si>
  <si>
    <t>Enchantment points</t>
  </si>
  <si>
    <t>Armor points</t>
  </si>
  <si>
    <t>Incomming hp damage:</t>
  </si>
  <si>
    <t>Here you need to put the values:</t>
  </si>
  <si>
    <t>damage calculation 1.9-1.17 (old format):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</si>
</sst>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0212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9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10ED-A669-48D5-AC93-5A649BFD40E7}">
  <dimension ref="A1:K35"/>
  <sheetViews>
    <sheetView zoomScale="144" zoomScaleNormal="144" workbookViewId="0">
      <selection activeCell="A4" sqref="A4"/>
    </sheetView>
  </sheetViews>
  <sheetFormatPr baseColWidth="10" defaultColWidth="11.54296875" defaultRowHeight="14.5" x14ac:dyDescent="0.35"/>
  <cols>
    <col min="1" max="1" width="17.54296875" customWidth="1"/>
    <col min="2" max="2" width="21.81640625" customWidth="1"/>
    <col min="3" max="3" width="15.54296875" customWidth="1"/>
    <col min="4" max="4" width="18.08984375" customWidth="1"/>
    <col min="5" max="5" width="16.1796875" customWidth="1"/>
    <col min="6" max="6" width="20.6328125" customWidth="1"/>
    <col min="7" max="7" width="14.6328125" customWidth="1"/>
    <col min="8" max="8" width="29.36328125" customWidth="1"/>
    <col min="9" max="9" width="12.54296875" customWidth="1"/>
    <col min="10" max="10" width="7.08984375" hidden="1" customWidth="1"/>
    <col min="11" max="11" width="13" hidden="1" customWidth="1"/>
    <col min="12" max="12" width="16.1796875" customWidth="1"/>
    <col min="13" max="13" width="12.6328125" customWidth="1"/>
    <col min="17" max="17" width="12.90625" customWidth="1"/>
    <col min="18" max="18" width="11.81640625" customWidth="1"/>
    <col min="19" max="19" width="22.1796875" customWidth="1"/>
  </cols>
  <sheetData>
    <row r="1" spans="1:11" x14ac:dyDescent="0.35">
      <c r="A1" s="2" t="s">
        <v>31</v>
      </c>
    </row>
    <row r="2" spans="1:11" x14ac:dyDescent="0.35">
      <c r="A2" t="s">
        <v>40</v>
      </c>
    </row>
    <row r="3" spans="1:11" x14ac:dyDescent="0.35">
      <c r="A3" t="s">
        <v>6</v>
      </c>
    </row>
    <row r="5" spans="1:11" x14ac:dyDescent="0.35">
      <c r="A5" t="s">
        <v>24</v>
      </c>
    </row>
    <row r="6" spans="1:11" x14ac:dyDescent="0.35">
      <c r="A6" s="2" t="s">
        <v>7</v>
      </c>
      <c r="B6" s="4"/>
    </row>
    <row r="7" spans="1:11" x14ac:dyDescent="0.35">
      <c r="A7" s="4" t="s">
        <v>9</v>
      </c>
    </row>
    <row r="8" spans="1:11" x14ac:dyDescent="0.35">
      <c r="A8" t="s">
        <v>15</v>
      </c>
      <c r="B8" t="s">
        <v>8</v>
      </c>
      <c r="C8" t="s">
        <v>22</v>
      </c>
      <c r="D8" t="s">
        <v>16</v>
      </c>
      <c r="E8" t="s">
        <v>25</v>
      </c>
      <c r="F8" t="s">
        <v>23</v>
      </c>
      <c r="G8" t="s">
        <v>17</v>
      </c>
      <c r="J8">
        <f>A9+(3*D9-4*E9)</f>
        <v>7</v>
      </c>
      <c r="K8">
        <f>IF(F9=0,1,MEDIAN(0,G9+(0.5/(20/F9)),1))</f>
        <v>1</v>
      </c>
    </row>
    <row r="9" spans="1:11" x14ac:dyDescent="0.35">
      <c r="A9">
        <v>7</v>
      </c>
      <c r="B9">
        <v>3</v>
      </c>
      <c r="C9">
        <v>0</v>
      </c>
      <c r="D9">
        <v>0</v>
      </c>
      <c r="E9">
        <v>0</v>
      </c>
      <c r="F9">
        <v>1.6</v>
      </c>
      <c r="G9" s="5">
        <v>1</v>
      </c>
      <c r="J9">
        <f>J8*(0.2+K8*K8*0.8)</f>
        <v>7</v>
      </c>
      <c r="K9">
        <f>B9*K8</f>
        <v>3</v>
      </c>
    </row>
    <row r="10" spans="1:11" x14ac:dyDescent="0.35">
      <c r="A10" s="4" t="s">
        <v>10</v>
      </c>
      <c r="J10">
        <f>IF(K8&gt;0.9,((C9*0.5)+1)*J9,J9)</f>
        <v>7</v>
      </c>
    </row>
    <row r="11" spans="1:11" x14ac:dyDescent="0.35">
      <c r="A11" t="s">
        <v>14</v>
      </c>
      <c r="B11" t="s">
        <v>11</v>
      </c>
      <c r="C11" t="s">
        <v>12</v>
      </c>
      <c r="D11" t="s">
        <v>13</v>
      </c>
      <c r="J11">
        <f>A12-((4*A16)/(8+D12))</f>
        <v>17.5</v>
      </c>
      <c r="K11">
        <f>16/(D12+8)</f>
        <v>1</v>
      </c>
    </row>
    <row r="12" spans="1:11" x14ac:dyDescent="0.35">
      <c r="A12">
        <v>20</v>
      </c>
      <c r="B12">
        <v>16</v>
      </c>
      <c r="C12">
        <v>0</v>
      </c>
      <c r="D12">
        <v>8</v>
      </c>
      <c r="J12">
        <f>A12*0.2</f>
        <v>4</v>
      </c>
      <c r="K12">
        <f>MEDIAN(J11,J12,20)</f>
        <v>17.5</v>
      </c>
    </row>
    <row r="14" spans="1:11" x14ac:dyDescent="0.35">
      <c r="A14" s="2" t="s">
        <v>26</v>
      </c>
    </row>
    <row r="15" spans="1:11" x14ac:dyDescent="0.35">
      <c r="A15" t="s">
        <v>30</v>
      </c>
      <c r="B15" t="s">
        <v>0</v>
      </c>
      <c r="C15" t="s">
        <v>1</v>
      </c>
    </row>
    <row r="16" spans="1:11" x14ac:dyDescent="0.35">
      <c r="A16">
        <f>J10+K9</f>
        <v>10</v>
      </c>
      <c r="B16">
        <f>A16*(1-B18)*(1-C18)*(1-D18)</f>
        <v>1.08</v>
      </c>
      <c r="C16">
        <f>B16/2</f>
        <v>0.54</v>
      </c>
    </row>
    <row r="17" spans="1:5" x14ac:dyDescent="0.35">
      <c r="A17" t="s">
        <v>3</v>
      </c>
      <c r="B17" t="s">
        <v>27</v>
      </c>
      <c r="C17" t="s">
        <v>28</v>
      </c>
      <c r="D17" t="s">
        <v>29</v>
      </c>
      <c r="E17" t="s">
        <v>2</v>
      </c>
    </row>
    <row r="18" spans="1:5" x14ac:dyDescent="0.35">
      <c r="A18" s="1">
        <f>IF(A16&gt;0,1-(B16/A16),"N/A")</f>
        <v>0.89200000000000002</v>
      </c>
      <c r="B18" s="1">
        <f>K12/25</f>
        <v>0.7</v>
      </c>
      <c r="C18" s="1">
        <f>MIN(C12*0.2,1)</f>
        <v>0</v>
      </c>
      <c r="D18" s="1">
        <f>MEDIAN(B12,0,20)/25</f>
        <v>0.64</v>
      </c>
      <c r="E18">
        <f>IF(A18="N/A","N/A",(1/(1-A18)))</f>
        <v>9.2592592592592613</v>
      </c>
    </row>
    <row r="21" spans="1:5" x14ac:dyDescent="0.35">
      <c r="A21" s="3" t="s">
        <v>21</v>
      </c>
    </row>
    <row r="22" spans="1:5" x14ac:dyDescent="0.35">
      <c r="A22" t="s">
        <v>5</v>
      </c>
    </row>
    <row r="24" spans="1:5" x14ac:dyDescent="0.35">
      <c r="A24" t="s">
        <v>38</v>
      </c>
    </row>
    <row r="26" spans="1:5" x14ac:dyDescent="0.35">
      <c r="A26" t="s">
        <v>39</v>
      </c>
    </row>
    <row r="28" spans="1:5" x14ac:dyDescent="0.35">
      <c r="A28" t="s">
        <v>4</v>
      </c>
    </row>
    <row r="29" spans="1:5" x14ac:dyDescent="0.35">
      <c r="A29" t="s">
        <v>34</v>
      </c>
    </row>
    <row r="31" spans="1:5" x14ac:dyDescent="0.35">
      <c r="A31" t="s">
        <v>20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33</v>
      </c>
    </row>
  </sheetData>
  <conditionalFormatting sqref="J11:J1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650F-1CA4-4DE0-B9BF-2CAC20F94FB5}">
  <dimension ref="A1:L33"/>
  <sheetViews>
    <sheetView topLeftCell="A22" zoomScale="144" zoomScaleNormal="144" workbookViewId="0">
      <selection activeCell="K1" sqref="J1:K1048576"/>
    </sheetView>
  </sheetViews>
  <sheetFormatPr baseColWidth="10" defaultColWidth="11.54296875" defaultRowHeight="14.5" x14ac:dyDescent="0.35"/>
  <cols>
    <col min="1" max="1" width="17.54296875" customWidth="1"/>
    <col min="2" max="2" width="21.81640625" customWidth="1"/>
    <col min="3" max="3" width="15.54296875" customWidth="1"/>
    <col min="4" max="4" width="18.08984375" customWidth="1"/>
    <col min="5" max="5" width="16.1796875" customWidth="1"/>
    <col min="6" max="6" width="20.6328125" customWidth="1"/>
    <col min="7" max="7" width="14.6328125" customWidth="1"/>
    <col min="8" max="8" width="29.36328125" customWidth="1"/>
    <col min="9" max="9" width="12.54296875" customWidth="1"/>
    <col min="10" max="10" width="7.08984375" hidden="1" customWidth="1"/>
    <col min="11" max="11" width="13" hidden="1" customWidth="1"/>
    <col min="12" max="12" width="16.1796875" customWidth="1"/>
    <col min="13" max="13" width="12.6328125" customWidth="1"/>
    <col min="17" max="17" width="12.90625" customWidth="1"/>
    <col min="18" max="18" width="11.81640625" customWidth="1"/>
    <col min="19" max="19" width="22.1796875" customWidth="1"/>
  </cols>
  <sheetData>
    <row r="1" spans="1:11" x14ac:dyDescent="0.35">
      <c r="A1" s="2" t="s">
        <v>35</v>
      </c>
    </row>
    <row r="2" spans="1:11" x14ac:dyDescent="0.35">
      <c r="A2" t="s">
        <v>37</v>
      </c>
    </row>
    <row r="4" spans="1:11" x14ac:dyDescent="0.35">
      <c r="A4" s="2" t="s">
        <v>7</v>
      </c>
      <c r="B4" s="4"/>
    </row>
    <row r="5" spans="1:11" x14ac:dyDescent="0.35">
      <c r="A5" s="4" t="s">
        <v>9</v>
      </c>
    </row>
    <row r="6" spans="1:11" x14ac:dyDescent="0.35">
      <c r="A6" t="s">
        <v>15</v>
      </c>
      <c r="B6" t="s">
        <v>8</v>
      </c>
      <c r="C6" t="s">
        <v>36</v>
      </c>
      <c r="D6" t="s">
        <v>16</v>
      </c>
      <c r="E6" t="s">
        <v>25</v>
      </c>
      <c r="F6" t="s">
        <v>17</v>
      </c>
    </row>
    <row r="7" spans="1:11" x14ac:dyDescent="0.35">
      <c r="A7">
        <v>7</v>
      </c>
      <c r="B7">
        <v>3</v>
      </c>
      <c r="C7">
        <v>3</v>
      </c>
      <c r="D7">
        <v>0</v>
      </c>
      <c r="E7">
        <v>0</v>
      </c>
      <c r="F7" s="5">
        <v>1</v>
      </c>
    </row>
    <row r="8" spans="1:11" x14ac:dyDescent="0.35">
      <c r="A8" s="4" t="s">
        <v>10</v>
      </c>
      <c r="J8">
        <f>A7+(3*D7-4*E7)</f>
        <v>7</v>
      </c>
      <c r="K8">
        <f>MEDIAN(0,F7+(0.5/(20/1.6)),1)</f>
        <v>1</v>
      </c>
    </row>
    <row r="9" spans="1:11" x14ac:dyDescent="0.35">
      <c r="A9" t="s">
        <v>14</v>
      </c>
      <c r="B9" t="s">
        <v>11</v>
      </c>
      <c r="C9" t="s">
        <v>12</v>
      </c>
      <c r="D9" t="s">
        <v>13</v>
      </c>
      <c r="J9">
        <f>J8*(0.2+K8*K8*0.8)</f>
        <v>7</v>
      </c>
      <c r="K9">
        <f>B7*K8</f>
        <v>3</v>
      </c>
    </row>
    <row r="10" spans="1:11" x14ac:dyDescent="0.35">
      <c r="A10">
        <v>20</v>
      </c>
      <c r="B10">
        <v>16</v>
      </c>
      <c r="C10">
        <v>0</v>
      </c>
      <c r="D10">
        <v>8</v>
      </c>
      <c r="J10">
        <f>J9+K9</f>
        <v>10</v>
      </c>
    </row>
    <row r="11" spans="1:11" x14ac:dyDescent="0.35">
      <c r="J11">
        <f>A10-((4*A14)/(8+D10))</f>
        <v>17.875</v>
      </c>
      <c r="K11">
        <f>16/(D10+8)</f>
        <v>1</v>
      </c>
    </row>
    <row r="12" spans="1:11" x14ac:dyDescent="0.35">
      <c r="A12" s="2" t="s">
        <v>26</v>
      </c>
      <c r="J12">
        <f>A10*0.2</f>
        <v>4</v>
      </c>
      <c r="K12">
        <f>MEDIAN(J11,J12,20)</f>
        <v>17.875</v>
      </c>
    </row>
    <row r="13" spans="1:11" x14ac:dyDescent="0.35">
      <c r="A13" t="s">
        <v>30</v>
      </c>
      <c r="B13" t="s">
        <v>0</v>
      </c>
      <c r="C13" t="s">
        <v>1</v>
      </c>
    </row>
    <row r="14" spans="1:11" x14ac:dyDescent="0.35">
      <c r="A14">
        <f>IF(AND((K8&gt;0.9),(J10&gt;0)),1+((C7/(C7+1))*J10),0)</f>
        <v>8.5</v>
      </c>
      <c r="B14">
        <f>A14*(1-B16)*(1-C16)*(1-D16)</f>
        <v>0.8721000000000001</v>
      </c>
      <c r="C14">
        <f>B14/2</f>
        <v>0.43605000000000005</v>
      </c>
    </row>
    <row r="15" spans="1:11" x14ac:dyDescent="0.35">
      <c r="A15" t="s">
        <v>3</v>
      </c>
      <c r="B15" t="s">
        <v>27</v>
      </c>
      <c r="C15" t="s">
        <v>28</v>
      </c>
      <c r="D15" t="s">
        <v>29</v>
      </c>
      <c r="E15" t="s">
        <v>2</v>
      </c>
    </row>
    <row r="16" spans="1:11" x14ac:dyDescent="0.35">
      <c r="A16" s="1">
        <f>IF(A14&gt;0,1-(B14/A14),"N/A")</f>
        <v>0.89739999999999998</v>
      </c>
      <c r="B16" s="1">
        <f>K12/25</f>
        <v>0.71499999999999997</v>
      </c>
      <c r="C16" s="1">
        <f>MIN(C10*0.2,1)</f>
        <v>0</v>
      </c>
      <c r="D16" s="1">
        <f>MEDIAN(B10,0,20)/25</f>
        <v>0.64</v>
      </c>
      <c r="E16">
        <f>IF(A16="N/A","N/A",(1/(1-A16)))</f>
        <v>9.7465886939571131</v>
      </c>
    </row>
    <row r="21" spans="1:1" x14ac:dyDescent="0.35">
      <c r="A21" s="3" t="s">
        <v>21</v>
      </c>
    </row>
    <row r="22" spans="1:1" x14ac:dyDescent="0.35">
      <c r="A22" t="s">
        <v>5</v>
      </c>
    </row>
    <row r="24" spans="1:1" x14ac:dyDescent="0.35">
      <c r="A24" t="s">
        <v>32</v>
      </c>
    </row>
    <row r="26" spans="1:1" x14ac:dyDescent="0.35">
      <c r="A26" t="s">
        <v>4</v>
      </c>
    </row>
    <row r="27" spans="1:1" x14ac:dyDescent="0.35">
      <c r="A27" t="s">
        <v>34</v>
      </c>
    </row>
    <row r="29" spans="1:1" x14ac:dyDescent="0.35">
      <c r="A29" t="s">
        <v>20</v>
      </c>
    </row>
    <row r="31" spans="1:1" x14ac:dyDescent="0.35">
      <c r="A31" t="s">
        <v>18</v>
      </c>
    </row>
    <row r="32" spans="1:1" x14ac:dyDescent="0.35">
      <c r="A32" t="s">
        <v>19</v>
      </c>
    </row>
    <row r="33" spans="1:1" x14ac:dyDescent="0.35">
      <c r="A33" t="s">
        <v>33</v>
      </c>
    </row>
  </sheetData>
  <conditionalFormatting sqref="J11:J1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C3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2E12-8C97-4EAE-86AD-F923C8D337BC}">
  <dimension ref="A1:L23"/>
  <sheetViews>
    <sheetView tabSelected="1" zoomScale="144" zoomScaleNormal="144" workbookViewId="0">
      <selection activeCell="A2" sqref="A2"/>
    </sheetView>
  </sheetViews>
  <sheetFormatPr baseColWidth="10" defaultRowHeight="14.5" x14ac:dyDescent="0.35"/>
  <cols>
    <col min="1" max="1" width="20.36328125" customWidth="1"/>
    <col min="2" max="2" width="12.36328125" customWidth="1"/>
    <col min="3" max="3" width="18.08984375" customWidth="1"/>
    <col min="4" max="4" width="17.7265625" customWidth="1"/>
    <col min="5" max="5" width="15" customWidth="1"/>
    <col min="6" max="6" width="15.08984375" customWidth="1"/>
    <col min="7" max="7" width="20.54296875" customWidth="1"/>
    <col min="8" max="8" width="29.36328125" customWidth="1"/>
    <col min="9" max="9" width="12.54296875" customWidth="1"/>
    <col min="10" max="11" width="10.90625" hidden="1" customWidth="1"/>
    <col min="12" max="12" width="16.26953125" customWidth="1"/>
    <col min="13" max="13" width="12.6328125" customWidth="1"/>
    <col min="17" max="17" width="12.90625" customWidth="1"/>
    <col min="18" max="18" width="11.7265625" customWidth="1"/>
    <col min="19" max="19" width="22.1796875" customWidth="1"/>
  </cols>
  <sheetData>
    <row r="1" spans="1:11" x14ac:dyDescent="0.35">
      <c r="A1" t="s">
        <v>53</v>
      </c>
    </row>
    <row r="3" spans="1:11" x14ac:dyDescent="0.35">
      <c r="A3" s="2" t="s">
        <v>52</v>
      </c>
    </row>
    <row r="4" spans="1:11" x14ac:dyDescent="0.35">
      <c r="J4">
        <f>(C6*0.04)-K4</f>
        <v>0.70000000000000007</v>
      </c>
      <c r="K4">
        <f>(A6*K6)*0.01</f>
        <v>0.1</v>
      </c>
    </row>
    <row r="5" spans="1:11" x14ac:dyDescent="0.35">
      <c r="A5" t="s">
        <v>51</v>
      </c>
      <c r="C5" t="s">
        <v>50</v>
      </c>
      <c r="D5" t="s">
        <v>49</v>
      </c>
      <c r="E5" t="s">
        <v>48</v>
      </c>
      <c r="F5" t="s">
        <v>47</v>
      </c>
      <c r="J5">
        <f>(C6*0.8*0.01)</f>
        <v>0.16</v>
      </c>
      <c r="K5">
        <f>(C6*0.04)-J5</f>
        <v>0.64</v>
      </c>
    </row>
    <row r="6" spans="1:11" x14ac:dyDescent="0.35">
      <c r="A6">
        <v>10</v>
      </c>
      <c r="C6">
        <v>20</v>
      </c>
      <c r="D6">
        <v>16</v>
      </c>
      <c r="E6">
        <v>0</v>
      </c>
      <c r="F6">
        <v>8</v>
      </c>
      <c r="J6">
        <f>IF(J4&gt;J5,K4,K5)</f>
        <v>0.1</v>
      </c>
      <c r="K6">
        <f>(16)/(F6+8)</f>
        <v>1</v>
      </c>
    </row>
    <row r="7" spans="1:11" x14ac:dyDescent="0.35">
      <c r="J7">
        <f>IF(D6&gt;20,20,D6)</f>
        <v>16</v>
      </c>
    </row>
    <row r="8" spans="1:11" x14ac:dyDescent="0.35">
      <c r="A8" s="2" t="s">
        <v>46</v>
      </c>
    </row>
    <row r="10" spans="1:11" x14ac:dyDescent="0.35">
      <c r="A10" t="s">
        <v>3</v>
      </c>
      <c r="C10" t="s">
        <v>0</v>
      </c>
      <c r="D10" t="s">
        <v>1</v>
      </c>
      <c r="F10" t="s">
        <v>2</v>
      </c>
    </row>
    <row r="11" spans="1:11" x14ac:dyDescent="0.35">
      <c r="A11" s="1">
        <f>1-((1-((C6*0.04)-(J6)))*(1-(J7*0.04))*(1-(E6*0.2)))</f>
        <v>0.89200000000000002</v>
      </c>
      <c r="C11">
        <f>((1-((C6*0.04)-(J6)))*(1-(J7*0.04))*(1-(E6*0.2))*A6)</f>
        <v>1.0799999999999996</v>
      </c>
      <c r="D11">
        <f>C11/2</f>
        <v>0.53999999999999981</v>
      </c>
      <c r="F11">
        <f>(1/(1-A11))</f>
        <v>9.2592592592592613</v>
      </c>
    </row>
    <row r="15" spans="1:11" x14ac:dyDescent="0.35">
      <c r="A15" s="3" t="s">
        <v>45</v>
      </c>
    </row>
    <row r="16" spans="1:11" x14ac:dyDescent="0.35">
      <c r="A16" t="s">
        <v>44</v>
      </c>
    </row>
    <row r="18" spans="1:1" x14ac:dyDescent="0.35">
      <c r="A18" t="s">
        <v>4</v>
      </c>
    </row>
    <row r="19" spans="1:1" x14ac:dyDescent="0.35">
      <c r="A19" t="s">
        <v>43</v>
      </c>
    </row>
    <row r="21" spans="1:1" x14ac:dyDescent="0.35">
      <c r="A21" t="s">
        <v>42</v>
      </c>
    </row>
    <row r="23" spans="1:1" x14ac:dyDescent="0.35">
      <c r="A23" t="s">
        <v>41</v>
      </c>
    </row>
  </sheetData>
  <conditionalFormatting sqref="J4:J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3:C2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armour calculation</vt:lpstr>
      <vt:lpstr>sweeping calculation</vt:lpstr>
      <vt:lpstr>old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2021-07-04T13:20:11Z</dcterms:created>
  <dcterms:modified xsi:type="dcterms:W3CDTF">2022-05-09T14:30:27Z</dcterms:modified>
</cp:coreProperties>
</file>